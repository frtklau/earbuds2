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40" windowWidth="15330" windowHeight="8840"/>
  </bookViews>
  <sheets>
    <sheet name="earbuds_scores" sheetId="1" r:id="rId1"/>
  </sheets>
  <calcPr calcId="145621"/>
</workbook>
</file>

<file path=xl/calcChain.xml><?xml version="1.0" encoding="utf-8"?>
<calcChain xmlns="http://schemas.openxmlformats.org/spreadsheetml/2006/main">
  <c r="O44" i="1" l="1"/>
  <c r="O42" i="1"/>
  <c r="O43" i="1"/>
  <c r="O39" i="1"/>
  <c r="O41" i="1"/>
  <c r="O31" i="1"/>
  <c r="O40" i="1"/>
  <c r="O32" i="1"/>
  <c r="O37" i="1"/>
  <c r="O16" i="1"/>
  <c r="O38" i="1"/>
  <c r="O30" i="1"/>
  <c r="O35" i="1"/>
  <c r="O24" i="1"/>
  <c r="O36" i="1"/>
  <c r="O29" i="1"/>
  <c r="O19" i="1"/>
  <c r="O10" i="1"/>
  <c r="O27" i="1"/>
  <c r="O33" i="1"/>
  <c r="O26" i="1"/>
  <c r="O12" i="1"/>
  <c r="O20" i="1"/>
  <c r="O18" i="1"/>
  <c r="O34" i="1"/>
  <c r="O28" i="1"/>
  <c r="O11" i="1"/>
  <c r="O23" i="1"/>
  <c r="O25" i="1"/>
  <c r="O17" i="1"/>
  <c r="O21" i="1"/>
  <c r="O22" i="1"/>
  <c r="O6" i="1"/>
  <c r="O15" i="1"/>
  <c r="O14" i="1"/>
  <c r="O9" i="1"/>
  <c r="O13" i="1"/>
  <c r="O8" i="1"/>
  <c r="O5" i="1"/>
  <c r="O7" i="1"/>
  <c r="O4" i="1"/>
  <c r="O3" i="1"/>
  <c r="N2" i="1"/>
</calcChain>
</file>

<file path=xl/comments1.xml><?xml version="1.0" encoding="utf-8"?>
<comments xmlns="http://schemas.openxmlformats.org/spreadsheetml/2006/main">
  <authors>
    <author>Frankie LAU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Frankie LAU:</t>
        </r>
        <r>
          <rPr>
            <sz val="9"/>
            <color indexed="81"/>
            <rFont val="Tahoma"/>
            <family val="2"/>
          </rPr>
          <t xml:space="preserve">
v5 $1180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Frankie LAU:</t>
        </r>
        <r>
          <rPr>
            <sz val="9"/>
            <color indexed="81"/>
            <rFont val="Tahoma"/>
            <family val="2"/>
          </rPr>
          <t xml:space="preserve">
v5 1299</t>
        </r>
      </text>
    </comment>
    <comment ref="C21" authorId="0">
      <text>
        <r>
          <rPr>
            <b/>
            <sz val="9"/>
            <color indexed="81"/>
            <rFont val="Tahoma"/>
            <family val="2"/>
          </rPr>
          <t>Frankie LAU:</t>
        </r>
        <r>
          <rPr>
            <sz val="9"/>
            <color indexed="81"/>
            <rFont val="Tahoma"/>
            <family val="2"/>
          </rPr>
          <t xml:space="preserve">
5 Pro 1299</t>
        </r>
      </text>
    </comment>
    <comment ref="C33" authorId="0">
      <text>
        <r>
          <rPr>
            <b/>
            <sz val="9"/>
            <color indexed="81"/>
            <rFont val="Tahoma"/>
            <family val="2"/>
          </rPr>
          <t>Frankie LAU:</t>
        </r>
        <r>
          <rPr>
            <sz val="9"/>
            <color indexed="81"/>
            <rFont val="Tahoma"/>
            <family val="2"/>
          </rPr>
          <t xml:space="preserve">
gen2 1888</t>
        </r>
      </text>
    </comment>
  </commentList>
</comments>
</file>

<file path=xl/sharedStrings.xml><?xml version="1.0" encoding="utf-8"?>
<sst xmlns="http://schemas.openxmlformats.org/spreadsheetml/2006/main" count="61" uniqueCount="61">
  <si>
    <t>Earbuds</t>
  </si>
  <si>
    <t>Comfort</t>
  </si>
  <si>
    <t>Security</t>
  </si>
  <si>
    <t>Case &amp; Battery</t>
  </si>
  <si>
    <t>Controls</t>
  </si>
  <si>
    <t>Connectivity</t>
  </si>
  <si>
    <t>Call Quality</t>
  </si>
  <si>
    <t>App &amp; Extras</t>
  </si>
  <si>
    <t>Noise Cancelling</t>
  </si>
  <si>
    <t>Transparency</t>
  </si>
  <si>
    <t>Sound Quality</t>
  </si>
  <si>
    <t>Total Score</t>
  </si>
  <si>
    <t>Technics AZ100</t>
  </si>
  <si>
    <t>HUAWEI FreeBuds Pro 4</t>
  </si>
  <si>
    <t>OnePlus Buds Pro 3</t>
  </si>
  <si>
    <t>JBL Tour Pro 3</t>
  </si>
  <si>
    <t>OnePlus Buds 4</t>
  </si>
  <si>
    <t>Pixel Buds Pro 2</t>
  </si>
  <si>
    <t>AirPods Pro 2</t>
  </si>
  <si>
    <t>Galaxy Buds3 Pro</t>
  </si>
  <si>
    <t>Soundcore Liberty 4 Pro</t>
  </si>
  <si>
    <t>Technics AZ80</t>
  </si>
  <si>
    <t>Jabra 8 Active Gen 2</t>
  </si>
  <si>
    <t>Soundcore Liberty 5</t>
  </si>
  <si>
    <t>Jabra Elite 10 Gen 2</t>
  </si>
  <si>
    <t>Nothing Ear</t>
  </si>
  <si>
    <t>Jabra Elite 10</t>
  </si>
  <si>
    <t>SoundPEATS H3</t>
  </si>
  <si>
    <t>Google Pixel Buds Pro</t>
  </si>
  <si>
    <t>Jabra Elite 8 Active</t>
  </si>
  <si>
    <t>Sennheiser Mom 4</t>
  </si>
  <si>
    <t>Sony WF-1000XM5</t>
  </si>
  <si>
    <t>Denon PerL Pro</t>
  </si>
  <si>
    <t>Sennheiser Mom Sport</t>
  </si>
  <si>
    <t>Bose QC Ultra</t>
  </si>
  <si>
    <t>OnePlus Buds 3</t>
  </si>
  <si>
    <t>B&amp;W Pi8</t>
  </si>
  <si>
    <t>Edifier NeoBuds Planar</t>
  </si>
  <si>
    <t>ATH-TWX7</t>
  </si>
  <si>
    <t>Bose QC Buds Gen 2</t>
  </si>
  <si>
    <t>Edifier Stax Spirit S10</t>
  </si>
  <si>
    <t>Galaxy Buds2 Pro</t>
  </si>
  <si>
    <t>OnePlus Buds Pro 2</t>
  </si>
  <si>
    <t>Soundcore Liberty 4</t>
  </si>
  <si>
    <t>Noble FoKus Rex5</t>
  </si>
  <si>
    <t>ATH-TWX9</t>
  </si>
  <si>
    <t>Sennheiser Mom 3</t>
  </si>
  <si>
    <t>Bose QC 2</t>
  </si>
  <si>
    <t>Status Between 3ANC</t>
  </si>
  <si>
    <t>Beats Fit Pro</t>
  </si>
  <si>
    <t>Sennheiser Accentum</t>
  </si>
  <si>
    <t>Beats Studio Buds +</t>
  </si>
  <si>
    <t>Creative Aurvana Ace 2</t>
  </si>
  <si>
    <t>B&amp;W Pi7 S2</t>
  </si>
  <si>
    <t>weight</t>
    <phoneticPr fontId="18" type="noConversion"/>
  </si>
  <si>
    <t>weighted score</t>
    <phoneticPr fontId="18" type="noConversion"/>
  </si>
  <si>
    <t>s/n</t>
    <phoneticPr fontId="18" type="noConversion"/>
  </si>
  <si>
    <t>520 water</t>
    <phoneticPr fontId="18" type="noConversion"/>
  </si>
  <si>
    <t>790 water</t>
    <phoneticPr fontId="18" type="noConversion"/>
  </si>
  <si>
    <t>price.com</t>
    <phoneticPr fontId="18" type="noConversion"/>
  </si>
  <si>
    <t>--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</si>
</sst>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scheme val="minor"/>
    </font>
    <font>
      <sz val="12"/>
      <color theme="5"/>
      <name val="新細明體"/>
      <family val="2"/>
      <charset val="136"/>
      <scheme val="minor"/>
    </font>
    <font>
      <b/>
      <sz val="12"/>
      <color rgb="FF0070C0"/>
      <name val="新細明體"/>
      <scheme val="minor"/>
    </font>
    <font>
      <b/>
      <sz val="14"/>
      <color theme="1"/>
      <name val="新細明體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9" tint="-0.249977111117893"/>
      <name val="新細明體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horizontal="right" vertical="center"/>
    </xf>
    <xf numFmtId="0" fontId="20" fillId="0" borderId="10" xfId="0" applyFont="1" applyBorder="1">
      <alignment vertical="center"/>
    </xf>
    <xf numFmtId="1" fontId="0" fillId="0" borderId="10" xfId="0" applyNumberFormat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Fill="1" applyBorder="1">
      <alignment vertical="center"/>
    </xf>
    <xf numFmtId="0" fontId="0" fillId="33" borderId="10" xfId="0" applyFill="1" applyBorder="1">
      <alignment vertical="center"/>
    </xf>
    <xf numFmtId="0" fontId="21" fillId="33" borderId="10" xfId="0" applyFont="1" applyFill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25" fillId="0" borderId="10" xfId="0" applyFont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7"/>
  <cols>
    <col min="2" max="2" width="28.36328125" customWidth="1"/>
    <col min="3" max="3" width="15.453125" style="13" customWidth="1"/>
    <col min="4" max="14" width="12.26953125" customWidth="1"/>
    <col min="15" max="15" width="15.90625" customWidth="1"/>
  </cols>
  <sheetData>
    <row r="1" spans="1:15">
      <c r="B1" s="2" t="s">
        <v>0</v>
      </c>
      <c r="C1" s="10" t="s">
        <v>59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7" t="s">
        <v>55</v>
      </c>
    </row>
    <row r="2" spans="1:15">
      <c r="A2" t="s">
        <v>56</v>
      </c>
      <c r="B2" s="3" t="s">
        <v>54</v>
      </c>
      <c r="C2" s="10"/>
      <c r="D2" s="6">
        <v>15</v>
      </c>
      <c r="E2" s="6">
        <v>10</v>
      </c>
      <c r="F2" s="6">
        <v>10</v>
      </c>
      <c r="G2" s="6">
        <v>10</v>
      </c>
      <c r="H2" s="6">
        <v>20</v>
      </c>
      <c r="I2" s="6">
        <v>10</v>
      </c>
      <c r="J2" s="6">
        <v>12</v>
      </c>
      <c r="K2" s="6">
        <v>15</v>
      </c>
      <c r="L2" s="6">
        <v>10</v>
      </c>
      <c r="M2" s="6">
        <v>40</v>
      </c>
      <c r="N2" s="4">
        <f>SUM(D2:M2)</f>
        <v>152</v>
      </c>
      <c r="O2" s="1"/>
    </row>
    <row r="3" spans="1:15">
      <c r="A3">
        <v>1</v>
      </c>
      <c r="B3" s="1" t="s">
        <v>12</v>
      </c>
      <c r="C3" s="11">
        <v>1760</v>
      </c>
      <c r="D3" s="1">
        <v>8</v>
      </c>
      <c r="E3" s="1">
        <v>8</v>
      </c>
      <c r="F3" s="1">
        <v>9.5</v>
      </c>
      <c r="G3" s="1">
        <v>8</v>
      </c>
      <c r="H3" s="1">
        <v>9</v>
      </c>
      <c r="I3" s="1">
        <v>9</v>
      </c>
      <c r="J3" s="1">
        <v>8</v>
      </c>
      <c r="K3" s="1">
        <v>9</v>
      </c>
      <c r="L3" s="1">
        <v>9</v>
      </c>
      <c r="M3" s="1">
        <v>9.5</v>
      </c>
      <c r="N3" s="1">
        <v>86.5</v>
      </c>
      <c r="O3" s="5">
        <f>SUMPRODUCT(D3:M3,$D$2:$M$2)</f>
        <v>1346</v>
      </c>
    </row>
    <row r="4" spans="1:15">
      <c r="A4">
        <v>2</v>
      </c>
      <c r="B4" s="1" t="s">
        <v>13</v>
      </c>
      <c r="C4" s="11">
        <v>890</v>
      </c>
      <c r="D4" s="1">
        <v>8.5</v>
      </c>
      <c r="E4" s="1">
        <v>8</v>
      </c>
      <c r="F4" s="1">
        <v>7.5</v>
      </c>
      <c r="G4" s="1">
        <v>9.5</v>
      </c>
      <c r="H4" s="1">
        <v>8.5</v>
      </c>
      <c r="I4" s="1">
        <v>9.5</v>
      </c>
      <c r="J4" s="1">
        <v>8</v>
      </c>
      <c r="K4" s="1">
        <v>8.5</v>
      </c>
      <c r="L4" s="1">
        <v>9</v>
      </c>
      <c r="M4" s="1">
        <v>9</v>
      </c>
      <c r="N4" s="1">
        <v>86</v>
      </c>
      <c r="O4" s="5">
        <f>SUMPRODUCT(D4:M4,$D$2:$M$2)</f>
        <v>1316</v>
      </c>
    </row>
    <row r="5" spans="1:15">
      <c r="A5">
        <v>4</v>
      </c>
      <c r="B5" s="1" t="s">
        <v>15</v>
      </c>
      <c r="C5" s="11">
        <v>1450</v>
      </c>
      <c r="D5" s="1">
        <v>8.5</v>
      </c>
      <c r="E5" s="1">
        <v>8</v>
      </c>
      <c r="F5" s="1">
        <v>8.5</v>
      </c>
      <c r="G5" s="1">
        <v>7</v>
      </c>
      <c r="H5" s="1">
        <v>9</v>
      </c>
      <c r="I5" s="1">
        <v>7.5</v>
      </c>
      <c r="J5" s="1">
        <v>8.5</v>
      </c>
      <c r="K5" s="1">
        <v>9.5</v>
      </c>
      <c r="L5" s="1">
        <v>9</v>
      </c>
      <c r="M5" s="1">
        <v>9</v>
      </c>
      <c r="N5" s="1">
        <v>84.5</v>
      </c>
      <c r="O5" s="5">
        <f>SUMPRODUCT(D5:M5,$D$2:$M$2)</f>
        <v>1312</v>
      </c>
    </row>
    <row r="6" spans="1:15">
      <c r="A6">
        <v>10</v>
      </c>
      <c r="B6" s="1" t="s">
        <v>21</v>
      </c>
      <c r="C6" s="11">
        <v>999</v>
      </c>
      <c r="D6" s="1">
        <v>7.5</v>
      </c>
      <c r="E6" s="1">
        <v>8</v>
      </c>
      <c r="F6" s="1">
        <v>8</v>
      </c>
      <c r="G6" s="1">
        <v>7.5</v>
      </c>
      <c r="H6" s="1">
        <v>9</v>
      </c>
      <c r="I6" s="1">
        <v>7.5</v>
      </c>
      <c r="J6" s="1">
        <v>8</v>
      </c>
      <c r="K6" s="1">
        <v>8.5</v>
      </c>
      <c r="L6" s="1">
        <v>8.5</v>
      </c>
      <c r="M6" s="1">
        <v>9.5</v>
      </c>
      <c r="N6" s="1">
        <v>82</v>
      </c>
      <c r="O6" s="5">
        <f>SUMPRODUCT(D6:M6,$D$2:$M$2)</f>
        <v>1291</v>
      </c>
    </row>
    <row r="7" spans="1:15">
      <c r="A7">
        <v>3</v>
      </c>
      <c r="B7" s="1" t="s">
        <v>14</v>
      </c>
      <c r="C7" s="11" t="s">
        <v>58</v>
      </c>
      <c r="D7" s="1">
        <v>9</v>
      </c>
      <c r="E7" s="1">
        <v>8</v>
      </c>
      <c r="F7" s="1">
        <v>8</v>
      </c>
      <c r="G7" s="1">
        <v>9</v>
      </c>
      <c r="H7" s="1">
        <v>8.5</v>
      </c>
      <c r="I7" s="1">
        <v>8.5</v>
      </c>
      <c r="J7" s="1">
        <v>8</v>
      </c>
      <c r="K7" s="1">
        <v>8.5</v>
      </c>
      <c r="L7" s="1">
        <v>9.5</v>
      </c>
      <c r="M7" s="1">
        <v>8</v>
      </c>
      <c r="N7" s="1">
        <v>85</v>
      </c>
      <c r="O7" s="5">
        <f>SUMPRODUCT(D7:M7,$D$2:$M$2)</f>
        <v>1278.5</v>
      </c>
    </row>
    <row r="8" spans="1:15">
      <c r="A8">
        <v>5</v>
      </c>
      <c r="B8" s="1" t="s">
        <v>16</v>
      </c>
      <c r="C8" s="11" t="s">
        <v>57</v>
      </c>
      <c r="D8" s="1">
        <v>9</v>
      </c>
      <c r="E8" s="1">
        <v>8</v>
      </c>
      <c r="F8" s="1">
        <v>7.5</v>
      </c>
      <c r="G8" s="1">
        <v>8.5</v>
      </c>
      <c r="H8" s="1">
        <v>8.5</v>
      </c>
      <c r="I8" s="1">
        <v>9</v>
      </c>
      <c r="J8" s="1">
        <v>8</v>
      </c>
      <c r="K8" s="1">
        <v>8.5</v>
      </c>
      <c r="L8" s="1">
        <v>9.5</v>
      </c>
      <c r="M8" s="1">
        <v>8</v>
      </c>
      <c r="N8" s="1">
        <v>84.5</v>
      </c>
      <c r="O8" s="5">
        <f>SUMPRODUCT(D8:M8,$D$2:$M$2)</f>
        <v>1273.5</v>
      </c>
    </row>
    <row r="9" spans="1:15">
      <c r="A9">
        <v>7</v>
      </c>
      <c r="B9" s="1" t="s">
        <v>18</v>
      </c>
      <c r="C9" s="11"/>
      <c r="D9" s="1">
        <v>9</v>
      </c>
      <c r="E9" s="1">
        <v>8</v>
      </c>
      <c r="F9" s="1">
        <v>8.5</v>
      </c>
      <c r="G9" s="1">
        <v>8.5</v>
      </c>
      <c r="H9" s="1">
        <v>6.5</v>
      </c>
      <c r="I9" s="1">
        <v>8.5</v>
      </c>
      <c r="J9" s="1">
        <v>7.5</v>
      </c>
      <c r="K9" s="1">
        <v>9</v>
      </c>
      <c r="L9" s="1">
        <v>10</v>
      </c>
      <c r="M9" s="1">
        <v>8.5</v>
      </c>
      <c r="N9" s="1">
        <v>84</v>
      </c>
      <c r="O9" s="5">
        <f>SUMPRODUCT(D9:M9,$D$2:$M$2)</f>
        <v>1265</v>
      </c>
    </row>
    <row r="10" spans="1:15">
      <c r="A10">
        <v>25</v>
      </c>
      <c r="B10" s="1" t="s">
        <v>36</v>
      </c>
      <c r="C10" s="11">
        <v>2788</v>
      </c>
      <c r="D10" s="1">
        <v>8</v>
      </c>
      <c r="E10" s="1">
        <v>8</v>
      </c>
      <c r="F10" s="1">
        <v>7</v>
      </c>
      <c r="G10" s="1">
        <v>7</v>
      </c>
      <c r="H10" s="1">
        <v>9</v>
      </c>
      <c r="I10" s="1">
        <v>7</v>
      </c>
      <c r="J10" s="1">
        <v>5.5</v>
      </c>
      <c r="K10" s="1">
        <v>8</v>
      </c>
      <c r="L10" s="1">
        <v>8.5</v>
      </c>
      <c r="M10" s="1">
        <v>10</v>
      </c>
      <c r="N10" s="1">
        <v>78</v>
      </c>
      <c r="O10" s="5">
        <f>SUMPRODUCT(D10:M10,$D$2:$M$2)</f>
        <v>1261</v>
      </c>
    </row>
    <row r="11" spans="1:15" ht="19.5">
      <c r="A11">
        <v>16</v>
      </c>
      <c r="B11" s="15" t="s">
        <v>27</v>
      </c>
      <c r="C11" s="12"/>
      <c r="D11" s="8">
        <v>7</v>
      </c>
      <c r="E11" s="8">
        <v>8</v>
      </c>
      <c r="F11" s="8">
        <v>6.5</v>
      </c>
      <c r="G11" s="8">
        <v>8</v>
      </c>
      <c r="H11" s="8">
        <v>8.5</v>
      </c>
      <c r="I11" s="8">
        <v>8</v>
      </c>
      <c r="J11" s="8">
        <v>7.5</v>
      </c>
      <c r="K11" s="8">
        <v>8</v>
      </c>
      <c r="L11" s="8">
        <v>7</v>
      </c>
      <c r="M11" s="9">
        <v>10</v>
      </c>
      <c r="N11" s="1">
        <v>80</v>
      </c>
      <c r="O11" s="5">
        <f>SUMPRODUCT(D11:M11,$D$2:$M$2)</f>
        <v>1260</v>
      </c>
    </row>
    <row r="12" spans="1:15">
      <c r="A12">
        <v>21</v>
      </c>
      <c r="B12" s="1" t="s">
        <v>32</v>
      </c>
      <c r="C12" s="11">
        <v>970</v>
      </c>
      <c r="D12" s="1">
        <v>7</v>
      </c>
      <c r="E12" s="1">
        <v>8</v>
      </c>
      <c r="F12" s="1">
        <v>7.5</v>
      </c>
      <c r="G12" s="1">
        <v>7.5</v>
      </c>
      <c r="H12" s="1">
        <v>8.5</v>
      </c>
      <c r="I12" s="1">
        <v>7.5</v>
      </c>
      <c r="J12" s="1">
        <v>7</v>
      </c>
      <c r="K12" s="1">
        <v>8.5</v>
      </c>
      <c r="L12" s="1">
        <v>8</v>
      </c>
      <c r="M12" s="1">
        <v>9.5</v>
      </c>
      <c r="N12" s="1">
        <v>79</v>
      </c>
      <c r="O12" s="5">
        <f>SUMPRODUCT(D12:M12,$D$2:$M$2)</f>
        <v>1251.5</v>
      </c>
    </row>
    <row r="13" spans="1:15">
      <c r="A13">
        <v>6</v>
      </c>
      <c r="B13" s="1" t="s">
        <v>17</v>
      </c>
      <c r="C13" s="11">
        <v>1680</v>
      </c>
      <c r="D13" s="1">
        <v>9.5</v>
      </c>
      <c r="E13" s="1">
        <v>8.5</v>
      </c>
      <c r="F13" s="1">
        <v>10</v>
      </c>
      <c r="G13" s="1">
        <v>8.5</v>
      </c>
      <c r="H13" s="1">
        <v>7.5</v>
      </c>
      <c r="I13" s="1">
        <v>7</v>
      </c>
      <c r="J13" s="1">
        <v>8</v>
      </c>
      <c r="K13" s="1">
        <v>8.5</v>
      </c>
      <c r="L13" s="1">
        <v>9.5</v>
      </c>
      <c r="M13" s="1">
        <v>7.5</v>
      </c>
      <c r="N13" s="1">
        <v>84.5</v>
      </c>
      <c r="O13" s="5">
        <f>SUMPRODUCT(D13:M13,$D$2:$M$2)</f>
        <v>1251</v>
      </c>
    </row>
    <row r="14" spans="1:15" ht="19.5">
      <c r="A14">
        <v>8</v>
      </c>
      <c r="B14" s="1" t="s">
        <v>19</v>
      </c>
      <c r="C14" s="11">
        <v>998</v>
      </c>
      <c r="D14" s="1">
        <v>9</v>
      </c>
      <c r="E14" s="1">
        <v>8</v>
      </c>
      <c r="F14" s="1">
        <v>8</v>
      </c>
      <c r="G14" s="1">
        <v>9</v>
      </c>
      <c r="H14" s="1">
        <v>7</v>
      </c>
      <c r="I14" s="1">
        <v>8</v>
      </c>
      <c r="J14" s="1">
        <v>8</v>
      </c>
      <c r="K14" s="1">
        <v>9</v>
      </c>
      <c r="L14" s="1">
        <v>9.5</v>
      </c>
      <c r="M14" s="1">
        <v>8</v>
      </c>
      <c r="N14" s="1">
        <v>83</v>
      </c>
      <c r="O14" s="5">
        <f>SUMPRODUCT(D14:M14,$D$2:$M$2)</f>
        <v>1251</v>
      </c>
    </row>
    <row r="15" spans="1:15">
      <c r="A15">
        <v>9</v>
      </c>
      <c r="B15" s="1" t="s">
        <v>20</v>
      </c>
      <c r="C15" s="11">
        <v>830</v>
      </c>
      <c r="D15" s="1">
        <v>8</v>
      </c>
      <c r="E15" s="1">
        <v>8</v>
      </c>
      <c r="F15" s="1">
        <v>8.5</v>
      </c>
      <c r="G15" s="1">
        <v>9</v>
      </c>
      <c r="H15" s="1">
        <v>8.5</v>
      </c>
      <c r="I15" s="1">
        <v>9</v>
      </c>
      <c r="J15" s="1">
        <v>8.5</v>
      </c>
      <c r="K15" s="1">
        <v>8</v>
      </c>
      <c r="L15" s="1">
        <v>8</v>
      </c>
      <c r="M15" s="1">
        <v>7.5</v>
      </c>
      <c r="N15" s="1">
        <v>82.5</v>
      </c>
      <c r="O15" s="5">
        <f>SUMPRODUCT(D15:M15,$D$2:$M$2)</f>
        <v>1237</v>
      </c>
    </row>
    <row r="16" spans="1:15">
      <c r="A16">
        <v>33</v>
      </c>
      <c r="B16" s="1" t="s">
        <v>44</v>
      </c>
      <c r="C16" s="11">
        <v>3250</v>
      </c>
      <c r="D16" s="1">
        <v>7</v>
      </c>
      <c r="E16" s="1">
        <v>8</v>
      </c>
      <c r="F16" s="1">
        <v>6.5</v>
      </c>
      <c r="G16" s="1">
        <v>8</v>
      </c>
      <c r="H16" s="1">
        <v>8.5</v>
      </c>
      <c r="I16" s="1">
        <v>7</v>
      </c>
      <c r="J16" s="1">
        <v>7.5</v>
      </c>
      <c r="K16" s="1">
        <v>7</v>
      </c>
      <c r="L16" s="1">
        <v>7</v>
      </c>
      <c r="M16" s="1">
        <v>10</v>
      </c>
      <c r="N16" s="1">
        <v>76.5</v>
      </c>
      <c r="O16" s="5">
        <f>SUMPRODUCT(D16:M16,$D$2:$M$2)</f>
        <v>1235</v>
      </c>
    </row>
    <row r="17" spans="1:15">
      <c r="A17">
        <v>13</v>
      </c>
      <c r="B17" s="1" t="s">
        <v>24</v>
      </c>
      <c r="C17" s="14" t="s">
        <v>60</v>
      </c>
      <c r="D17" s="1">
        <v>9</v>
      </c>
      <c r="E17" s="1">
        <v>7</v>
      </c>
      <c r="F17" s="1">
        <v>9</v>
      </c>
      <c r="G17" s="1">
        <v>8</v>
      </c>
      <c r="H17" s="1">
        <v>8</v>
      </c>
      <c r="I17" s="1">
        <v>8</v>
      </c>
      <c r="J17" s="1">
        <v>7.5</v>
      </c>
      <c r="K17" s="1">
        <v>8.5</v>
      </c>
      <c r="L17" s="1">
        <v>8</v>
      </c>
      <c r="M17" s="1">
        <v>8</v>
      </c>
      <c r="N17" s="1">
        <v>81</v>
      </c>
      <c r="O17" s="5">
        <f>SUMPRODUCT(D17:M17,$D$2:$M$2)</f>
        <v>1232.5</v>
      </c>
    </row>
    <row r="18" spans="1:15">
      <c r="A18">
        <v>19</v>
      </c>
      <c r="B18" s="2" t="s">
        <v>30</v>
      </c>
      <c r="C18" s="11">
        <v>1580</v>
      </c>
      <c r="D18" s="1">
        <v>8</v>
      </c>
      <c r="E18" s="1">
        <v>8.5</v>
      </c>
      <c r="F18" s="1">
        <v>7</v>
      </c>
      <c r="G18" s="1">
        <v>8</v>
      </c>
      <c r="H18" s="1">
        <v>8.5</v>
      </c>
      <c r="I18" s="1">
        <v>6</v>
      </c>
      <c r="J18" s="1">
        <v>7.5</v>
      </c>
      <c r="K18" s="1">
        <v>8.5</v>
      </c>
      <c r="L18" s="1">
        <v>9</v>
      </c>
      <c r="M18" s="1">
        <v>8.5</v>
      </c>
      <c r="N18" s="1">
        <v>79.5</v>
      </c>
      <c r="O18" s="5">
        <f>SUMPRODUCT(D18:M18,$D$2:$M$2)</f>
        <v>1232.5</v>
      </c>
    </row>
    <row r="19" spans="1:15">
      <c r="A19">
        <v>26</v>
      </c>
      <c r="B19" s="1" t="s">
        <v>37</v>
      </c>
      <c r="C19" s="11"/>
      <c r="D19" s="1">
        <v>8</v>
      </c>
      <c r="E19" s="1">
        <v>8</v>
      </c>
      <c r="F19" s="1">
        <v>6.5</v>
      </c>
      <c r="G19" s="1">
        <v>8</v>
      </c>
      <c r="H19" s="1">
        <v>9</v>
      </c>
      <c r="I19" s="1">
        <v>7</v>
      </c>
      <c r="J19" s="1">
        <v>7.5</v>
      </c>
      <c r="K19" s="1">
        <v>7.5</v>
      </c>
      <c r="L19" s="1">
        <v>7.5</v>
      </c>
      <c r="M19" s="1">
        <v>9</v>
      </c>
      <c r="N19" s="1">
        <v>78</v>
      </c>
      <c r="O19" s="5">
        <f>SUMPRODUCT(D19:M19,$D$2:$M$2)</f>
        <v>1232.5</v>
      </c>
    </row>
    <row r="20" spans="1:15">
      <c r="A20">
        <v>20</v>
      </c>
      <c r="B20" s="1" t="s">
        <v>31</v>
      </c>
      <c r="C20" s="11">
        <v>1110</v>
      </c>
      <c r="D20" s="1">
        <v>7</v>
      </c>
      <c r="E20" s="1">
        <v>7</v>
      </c>
      <c r="F20" s="1">
        <v>8.5</v>
      </c>
      <c r="G20" s="1">
        <v>8</v>
      </c>
      <c r="H20" s="1">
        <v>8</v>
      </c>
      <c r="I20" s="1">
        <v>7</v>
      </c>
      <c r="J20" s="1">
        <v>8</v>
      </c>
      <c r="K20" s="1">
        <v>10</v>
      </c>
      <c r="L20" s="1">
        <v>7.5</v>
      </c>
      <c r="M20" s="1">
        <v>8.5</v>
      </c>
      <c r="N20" s="1">
        <v>79.5</v>
      </c>
      <c r="O20" s="5">
        <f>SUMPRODUCT(D20:M20,$D$2:$M$2)</f>
        <v>1231</v>
      </c>
    </row>
    <row r="21" spans="1:15">
      <c r="A21">
        <v>12</v>
      </c>
      <c r="B21" s="1" t="s">
        <v>23</v>
      </c>
      <c r="C21" s="11">
        <v>560</v>
      </c>
      <c r="D21" s="1">
        <v>8</v>
      </c>
      <c r="E21" s="1">
        <v>8</v>
      </c>
      <c r="F21" s="1">
        <v>8.5</v>
      </c>
      <c r="G21" s="1">
        <v>7.5</v>
      </c>
      <c r="H21" s="1">
        <v>8.5</v>
      </c>
      <c r="I21" s="1">
        <v>8.5</v>
      </c>
      <c r="J21" s="1">
        <v>8</v>
      </c>
      <c r="K21" s="1">
        <v>8.5</v>
      </c>
      <c r="L21" s="1">
        <v>8.5</v>
      </c>
      <c r="M21" s="1">
        <v>7.5</v>
      </c>
      <c r="N21" s="1">
        <v>81.5</v>
      </c>
      <c r="O21" s="5">
        <f>SUMPRODUCT(D21:M21,$D$2:$M$2)</f>
        <v>1223.5</v>
      </c>
    </row>
    <row r="22" spans="1:15">
      <c r="A22">
        <v>11</v>
      </c>
      <c r="B22" s="1" t="s">
        <v>22</v>
      </c>
      <c r="C22" s="11"/>
      <c r="D22" s="1">
        <v>8</v>
      </c>
      <c r="E22" s="1">
        <v>8</v>
      </c>
      <c r="F22" s="1">
        <v>10</v>
      </c>
      <c r="G22" s="1">
        <v>8</v>
      </c>
      <c r="H22" s="1">
        <v>8</v>
      </c>
      <c r="I22" s="1">
        <v>8</v>
      </c>
      <c r="J22" s="1">
        <v>7.5</v>
      </c>
      <c r="K22" s="1">
        <v>8.5</v>
      </c>
      <c r="L22" s="1">
        <v>8</v>
      </c>
      <c r="M22" s="1">
        <v>7.5</v>
      </c>
      <c r="N22" s="1">
        <v>81.5</v>
      </c>
      <c r="O22" s="5">
        <f>SUMPRODUCT(D22:M22,$D$2:$M$2)</f>
        <v>1217.5</v>
      </c>
    </row>
    <row r="23" spans="1:15">
      <c r="A23">
        <v>15</v>
      </c>
      <c r="B23" s="1" t="s">
        <v>26</v>
      </c>
      <c r="C23" s="11"/>
      <c r="D23" s="1">
        <v>9</v>
      </c>
      <c r="E23" s="1">
        <v>7</v>
      </c>
      <c r="F23" s="1">
        <v>9</v>
      </c>
      <c r="G23" s="1">
        <v>8</v>
      </c>
      <c r="H23" s="1">
        <v>7</v>
      </c>
      <c r="I23" s="1">
        <v>8.5</v>
      </c>
      <c r="J23" s="1">
        <v>7.5</v>
      </c>
      <c r="K23" s="1">
        <v>8.5</v>
      </c>
      <c r="L23" s="1">
        <v>8</v>
      </c>
      <c r="M23" s="1">
        <v>8</v>
      </c>
      <c r="N23" s="1">
        <v>80.5</v>
      </c>
      <c r="O23" s="5">
        <f>SUMPRODUCT(D23:M23,$D$2:$M$2)</f>
        <v>1217.5</v>
      </c>
    </row>
    <row r="24" spans="1:15">
      <c r="A24">
        <v>29</v>
      </c>
      <c r="B24" s="1" t="s">
        <v>40</v>
      </c>
      <c r="C24" s="11"/>
      <c r="D24" s="1">
        <v>8</v>
      </c>
      <c r="E24" s="1">
        <v>8</v>
      </c>
      <c r="F24" s="1">
        <v>6.5</v>
      </c>
      <c r="G24" s="1">
        <v>8</v>
      </c>
      <c r="H24" s="1">
        <v>9</v>
      </c>
      <c r="I24" s="1">
        <v>7</v>
      </c>
      <c r="J24" s="1">
        <v>7.5</v>
      </c>
      <c r="K24" s="1">
        <v>7.5</v>
      </c>
      <c r="L24" s="1">
        <v>7.5</v>
      </c>
      <c r="M24" s="1">
        <v>8.5</v>
      </c>
      <c r="N24" s="1">
        <v>77.5</v>
      </c>
      <c r="O24" s="5">
        <f>SUMPRODUCT(D24:M24,$D$2:$M$2)</f>
        <v>1212.5</v>
      </c>
    </row>
    <row r="25" spans="1:15">
      <c r="A25">
        <v>14</v>
      </c>
      <c r="B25" s="1" t="s">
        <v>25</v>
      </c>
      <c r="C25" s="11"/>
      <c r="D25" s="1">
        <v>9</v>
      </c>
      <c r="E25" s="1">
        <v>8</v>
      </c>
      <c r="F25" s="1">
        <v>7.5</v>
      </c>
      <c r="G25" s="1">
        <v>8</v>
      </c>
      <c r="H25" s="1">
        <v>8.5</v>
      </c>
      <c r="I25" s="1">
        <v>8.5</v>
      </c>
      <c r="J25" s="1">
        <v>8</v>
      </c>
      <c r="K25" s="1">
        <v>8</v>
      </c>
      <c r="L25" s="1">
        <v>7</v>
      </c>
      <c r="M25" s="1">
        <v>7.5</v>
      </c>
      <c r="N25" s="1">
        <v>81</v>
      </c>
      <c r="O25" s="5">
        <f>SUMPRODUCT(D25:M25,$D$2:$M$2)</f>
        <v>1211</v>
      </c>
    </row>
    <row r="26" spans="1:15">
      <c r="A26">
        <v>22</v>
      </c>
      <c r="B26" s="1" t="s">
        <v>33</v>
      </c>
      <c r="C26" s="11"/>
      <c r="D26" s="1">
        <v>6.5</v>
      </c>
      <c r="E26" s="1">
        <v>9</v>
      </c>
      <c r="F26" s="1">
        <v>7.5</v>
      </c>
      <c r="G26" s="1">
        <v>7.5</v>
      </c>
      <c r="H26" s="1">
        <v>8.5</v>
      </c>
      <c r="I26" s="1">
        <v>6.5</v>
      </c>
      <c r="J26" s="1">
        <v>8.5</v>
      </c>
      <c r="K26" s="1">
        <v>8.5</v>
      </c>
      <c r="L26" s="1">
        <v>8.5</v>
      </c>
      <c r="M26" s="1">
        <v>8</v>
      </c>
      <c r="N26" s="1">
        <v>79</v>
      </c>
      <c r="O26" s="5">
        <f>SUMPRODUCT(D26:M26,$D$2:$M$2)</f>
        <v>1207</v>
      </c>
    </row>
    <row r="27" spans="1:15">
      <c r="A27">
        <v>24</v>
      </c>
      <c r="B27" s="1" t="s">
        <v>35</v>
      </c>
      <c r="C27" s="11"/>
      <c r="D27" s="1">
        <v>9</v>
      </c>
      <c r="E27" s="1">
        <v>8</v>
      </c>
      <c r="F27" s="1">
        <v>7.5</v>
      </c>
      <c r="G27" s="1">
        <v>8.5</v>
      </c>
      <c r="H27" s="1">
        <v>8.5</v>
      </c>
      <c r="I27" s="1">
        <v>8.5</v>
      </c>
      <c r="J27" s="1">
        <v>8</v>
      </c>
      <c r="K27" s="1">
        <v>6.5</v>
      </c>
      <c r="L27" s="1">
        <v>7</v>
      </c>
      <c r="M27" s="1">
        <v>7.5</v>
      </c>
      <c r="N27" s="1">
        <v>78.5</v>
      </c>
      <c r="O27" s="5">
        <f>SUMPRODUCT(D27:M27,$D$2:$M$2)</f>
        <v>1193.5</v>
      </c>
    </row>
    <row r="28" spans="1:15">
      <c r="A28">
        <v>17</v>
      </c>
      <c r="B28" s="1" t="s">
        <v>28</v>
      </c>
      <c r="C28" s="11"/>
      <c r="D28" s="1">
        <v>9</v>
      </c>
      <c r="E28" s="1">
        <v>8</v>
      </c>
      <c r="F28" s="1">
        <v>8</v>
      </c>
      <c r="G28" s="1">
        <v>8</v>
      </c>
      <c r="H28" s="1">
        <v>7</v>
      </c>
      <c r="I28" s="1">
        <v>7</v>
      </c>
      <c r="J28" s="1">
        <v>8</v>
      </c>
      <c r="K28" s="1">
        <v>8</v>
      </c>
      <c r="L28" s="1">
        <v>9</v>
      </c>
      <c r="M28" s="1">
        <v>7.5</v>
      </c>
      <c r="N28" s="1">
        <v>79.5</v>
      </c>
      <c r="O28" s="5">
        <f>SUMPRODUCT(D28:M28,$D$2:$M$2)</f>
        <v>1191</v>
      </c>
    </row>
    <row r="29" spans="1:15">
      <c r="A29">
        <v>27</v>
      </c>
      <c r="B29" s="1" t="s">
        <v>38</v>
      </c>
      <c r="C29" s="11"/>
      <c r="D29" s="1">
        <v>7.5</v>
      </c>
      <c r="E29" s="1">
        <v>8</v>
      </c>
      <c r="F29" s="1">
        <v>6.5</v>
      </c>
      <c r="G29" s="1">
        <v>8.5</v>
      </c>
      <c r="H29" s="1">
        <v>8.5</v>
      </c>
      <c r="I29" s="1">
        <v>8</v>
      </c>
      <c r="J29" s="1">
        <v>8</v>
      </c>
      <c r="K29" s="1">
        <v>7.5</v>
      </c>
      <c r="L29" s="1">
        <v>7</v>
      </c>
      <c r="M29" s="1">
        <v>8</v>
      </c>
      <c r="N29" s="1">
        <v>77.5</v>
      </c>
      <c r="O29" s="5">
        <f>SUMPRODUCT(D29:M29,$D$2:$M$2)</f>
        <v>1191</v>
      </c>
    </row>
    <row r="30" spans="1:15">
      <c r="A30">
        <v>31</v>
      </c>
      <c r="B30" s="1" t="s">
        <v>42</v>
      </c>
      <c r="C30" s="11"/>
      <c r="D30" s="1">
        <v>8</v>
      </c>
      <c r="E30" s="1">
        <v>8</v>
      </c>
      <c r="F30" s="1">
        <v>8.5</v>
      </c>
      <c r="G30" s="1">
        <v>6</v>
      </c>
      <c r="H30" s="1">
        <v>8.5</v>
      </c>
      <c r="I30" s="1">
        <v>8</v>
      </c>
      <c r="J30" s="1">
        <v>8</v>
      </c>
      <c r="K30" s="1">
        <v>6.5</v>
      </c>
      <c r="L30" s="1">
        <v>8</v>
      </c>
      <c r="M30" s="1">
        <v>8</v>
      </c>
      <c r="N30" s="1">
        <v>77.5</v>
      </c>
      <c r="O30" s="5">
        <f>SUMPRODUCT(D30:M30,$D$2:$M$2)</f>
        <v>1188.5</v>
      </c>
    </row>
    <row r="31" spans="1:15">
      <c r="A31">
        <v>37</v>
      </c>
      <c r="B31" s="1" t="s">
        <v>48</v>
      </c>
      <c r="C31" s="11"/>
      <c r="D31" s="1">
        <v>8.5</v>
      </c>
      <c r="E31" s="1">
        <v>8</v>
      </c>
      <c r="F31" s="1">
        <v>8</v>
      </c>
      <c r="G31" s="1">
        <v>7</v>
      </c>
      <c r="H31" s="1">
        <v>7</v>
      </c>
      <c r="I31" s="1">
        <v>7</v>
      </c>
      <c r="J31" s="1">
        <v>5.5</v>
      </c>
      <c r="K31" s="1">
        <v>8</v>
      </c>
      <c r="L31" s="1">
        <v>7.5</v>
      </c>
      <c r="M31" s="1">
        <v>9</v>
      </c>
      <c r="N31" s="1">
        <v>75.5</v>
      </c>
      <c r="O31" s="5">
        <f>SUMPRODUCT(D31:M31,$D$2:$M$2)</f>
        <v>1188.5</v>
      </c>
    </row>
    <row r="32" spans="1:15">
      <c r="A32">
        <v>35</v>
      </c>
      <c r="B32" s="1" t="s">
        <v>46</v>
      </c>
      <c r="C32" s="11"/>
      <c r="D32" s="1">
        <v>8</v>
      </c>
      <c r="E32" s="1">
        <v>8.5</v>
      </c>
      <c r="F32" s="1">
        <v>7</v>
      </c>
      <c r="G32" s="1">
        <v>8</v>
      </c>
      <c r="H32" s="1">
        <v>8</v>
      </c>
      <c r="I32" s="1">
        <v>6.5</v>
      </c>
      <c r="J32" s="1">
        <v>7.5</v>
      </c>
      <c r="K32" s="1">
        <v>7.5</v>
      </c>
      <c r="L32" s="1">
        <v>6.5</v>
      </c>
      <c r="M32" s="1">
        <v>8.5</v>
      </c>
      <c r="N32" s="1">
        <v>76</v>
      </c>
      <c r="O32" s="5">
        <f>SUMPRODUCT(D32:M32,$D$2:$M$2)</f>
        <v>1187.5</v>
      </c>
    </row>
    <row r="33" spans="1:15">
      <c r="A33">
        <v>23</v>
      </c>
      <c r="B33" s="1" t="s">
        <v>34</v>
      </c>
      <c r="C33" s="11">
        <v>1680</v>
      </c>
      <c r="D33" s="1">
        <v>8</v>
      </c>
      <c r="E33" s="1">
        <v>8.5</v>
      </c>
      <c r="F33" s="1">
        <v>7</v>
      </c>
      <c r="G33" s="1">
        <v>8</v>
      </c>
      <c r="H33" s="1">
        <v>8</v>
      </c>
      <c r="I33" s="1">
        <v>6</v>
      </c>
      <c r="J33" s="1">
        <v>6</v>
      </c>
      <c r="K33" s="1">
        <v>10</v>
      </c>
      <c r="L33" s="1">
        <v>9</v>
      </c>
      <c r="M33" s="1">
        <v>7.5</v>
      </c>
      <c r="N33" s="1">
        <v>78.5</v>
      </c>
      <c r="O33" s="5">
        <f>SUMPRODUCT(D33:M33,$D$2:$M$2)</f>
        <v>1187</v>
      </c>
    </row>
    <row r="34" spans="1:15">
      <c r="A34">
        <v>18</v>
      </c>
      <c r="B34" s="1" t="s">
        <v>29</v>
      </c>
      <c r="C34" s="11"/>
      <c r="D34" s="1">
        <v>8</v>
      </c>
      <c r="E34" s="1">
        <v>8</v>
      </c>
      <c r="F34" s="1">
        <v>10</v>
      </c>
      <c r="G34" s="1">
        <v>8</v>
      </c>
      <c r="H34" s="1">
        <v>7</v>
      </c>
      <c r="I34" s="1">
        <v>8</v>
      </c>
      <c r="J34" s="1">
        <v>7.5</v>
      </c>
      <c r="K34" s="1">
        <v>8</v>
      </c>
      <c r="L34" s="1">
        <v>7.5</v>
      </c>
      <c r="M34" s="1">
        <v>7.5</v>
      </c>
      <c r="N34" s="1">
        <v>79.5</v>
      </c>
      <c r="O34" s="5">
        <f>SUMPRODUCT(D34:M34,$D$2:$M$2)</f>
        <v>1185</v>
      </c>
    </row>
    <row r="35" spans="1:15">
      <c r="A35">
        <v>30</v>
      </c>
      <c r="B35" s="1" t="s">
        <v>41</v>
      </c>
      <c r="C35" s="11"/>
      <c r="D35" s="1">
        <v>8</v>
      </c>
      <c r="E35" s="1">
        <v>8</v>
      </c>
      <c r="F35" s="1">
        <v>7</v>
      </c>
      <c r="G35" s="1">
        <v>7.5</v>
      </c>
      <c r="H35" s="1">
        <v>7</v>
      </c>
      <c r="I35" s="1">
        <v>7.5</v>
      </c>
      <c r="J35" s="1">
        <v>7.5</v>
      </c>
      <c r="K35" s="1">
        <v>8</v>
      </c>
      <c r="L35" s="1">
        <v>9</v>
      </c>
      <c r="M35" s="1">
        <v>8</v>
      </c>
      <c r="N35" s="1">
        <v>77.5</v>
      </c>
      <c r="O35" s="5">
        <f>SUMPRODUCT(D35:M35,$D$2:$M$2)</f>
        <v>1180</v>
      </c>
    </row>
    <row r="36" spans="1:15">
      <c r="A36">
        <v>28</v>
      </c>
      <c r="B36" s="1" t="s">
        <v>39</v>
      </c>
      <c r="C36" s="11"/>
      <c r="D36" s="1">
        <v>8</v>
      </c>
      <c r="E36" s="1">
        <v>8.5</v>
      </c>
      <c r="F36" s="1">
        <v>8</v>
      </c>
      <c r="G36" s="1">
        <v>8</v>
      </c>
      <c r="H36" s="1">
        <v>7.5</v>
      </c>
      <c r="I36" s="1">
        <v>6</v>
      </c>
      <c r="J36" s="1">
        <v>7</v>
      </c>
      <c r="K36" s="1">
        <v>8</v>
      </c>
      <c r="L36" s="1">
        <v>9</v>
      </c>
      <c r="M36" s="1">
        <v>7.5</v>
      </c>
      <c r="N36" s="1">
        <v>77.5</v>
      </c>
      <c r="O36" s="5">
        <f>SUMPRODUCT(D36:M36,$D$2:$M$2)</f>
        <v>1169</v>
      </c>
    </row>
    <row r="37" spans="1:15">
      <c r="A37">
        <v>34</v>
      </c>
      <c r="B37" s="1" t="s">
        <v>45</v>
      </c>
      <c r="C37" s="11"/>
      <c r="D37" s="1">
        <v>7.5</v>
      </c>
      <c r="E37" s="1">
        <v>8</v>
      </c>
      <c r="F37" s="1">
        <v>7</v>
      </c>
      <c r="G37" s="1">
        <v>9</v>
      </c>
      <c r="H37" s="1">
        <v>8.5</v>
      </c>
      <c r="I37" s="1">
        <v>7.5</v>
      </c>
      <c r="J37" s="1">
        <v>8</v>
      </c>
      <c r="K37" s="1">
        <v>5.5</v>
      </c>
      <c r="L37" s="1">
        <v>7</v>
      </c>
      <c r="M37" s="1">
        <v>8</v>
      </c>
      <c r="N37" s="1">
        <v>76</v>
      </c>
      <c r="O37" s="5">
        <f>SUMPRODUCT(D37:M37,$D$2:$M$2)</f>
        <v>1166</v>
      </c>
    </row>
    <row r="38" spans="1:15">
      <c r="A38">
        <v>32</v>
      </c>
      <c r="B38" s="1" t="s">
        <v>43</v>
      </c>
      <c r="C38" s="11"/>
      <c r="D38" s="1">
        <v>8</v>
      </c>
      <c r="E38" s="1">
        <v>8</v>
      </c>
      <c r="F38" s="1">
        <v>8</v>
      </c>
      <c r="G38" s="1">
        <v>6.5</v>
      </c>
      <c r="H38" s="1">
        <v>8</v>
      </c>
      <c r="I38" s="1">
        <v>9</v>
      </c>
      <c r="J38" s="1">
        <v>8</v>
      </c>
      <c r="K38" s="1">
        <v>7.5</v>
      </c>
      <c r="L38" s="1">
        <v>7</v>
      </c>
      <c r="M38" s="1">
        <v>7</v>
      </c>
      <c r="N38" s="1">
        <v>77</v>
      </c>
      <c r="O38" s="5">
        <f>SUMPRODUCT(D38:M38,$D$2:$M$2)</f>
        <v>1153.5</v>
      </c>
    </row>
    <row r="39" spans="1:15">
      <c r="A39">
        <v>39</v>
      </c>
      <c r="B39" s="1" t="s">
        <v>50</v>
      </c>
      <c r="C39" s="11"/>
      <c r="D39" s="1">
        <v>7.5</v>
      </c>
      <c r="E39" s="1">
        <v>8</v>
      </c>
      <c r="F39" s="1">
        <v>6.5</v>
      </c>
      <c r="G39" s="1">
        <v>8</v>
      </c>
      <c r="H39" s="1">
        <v>7.5</v>
      </c>
      <c r="I39" s="1">
        <v>6.5</v>
      </c>
      <c r="J39" s="1">
        <v>7.5</v>
      </c>
      <c r="K39" s="1">
        <v>7</v>
      </c>
      <c r="L39" s="1">
        <v>8</v>
      </c>
      <c r="M39" s="1">
        <v>8</v>
      </c>
      <c r="N39" s="1">
        <v>74.5</v>
      </c>
      <c r="O39" s="5">
        <f>SUMPRODUCT(D39:M39,$D$2:$M$2)</f>
        <v>1147.5</v>
      </c>
    </row>
    <row r="40" spans="1:15">
      <c r="A40">
        <v>36</v>
      </c>
      <c r="B40" s="1" t="s">
        <v>47</v>
      </c>
      <c r="C40" s="11"/>
      <c r="D40" s="1">
        <v>8</v>
      </c>
      <c r="E40" s="1">
        <v>8.5</v>
      </c>
      <c r="F40" s="1">
        <v>7</v>
      </c>
      <c r="G40" s="1">
        <v>8</v>
      </c>
      <c r="H40" s="1">
        <v>5</v>
      </c>
      <c r="I40" s="1">
        <v>6</v>
      </c>
      <c r="J40" s="1">
        <v>6</v>
      </c>
      <c r="K40" s="1">
        <v>10</v>
      </c>
      <c r="L40" s="1">
        <v>9</v>
      </c>
      <c r="M40" s="1">
        <v>7.5</v>
      </c>
      <c r="N40" s="1">
        <v>75.5</v>
      </c>
      <c r="O40" s="5">
        <f>SUMPRODUCT(D40:M40,$D$2:$M$2)</f>
        <v>1127</v>
      </c>
    </row>
    <row r="41" spans="1:15">
      <c r="A41">
        <v>38</v>
      </c>
      <c r="B41" s="1" t="s">
        <v>49</v>
      </c>
      <c r="C41" s="11"/>
      <c r="D41" s="1">
        <v>8</v>
      </c>
      <c r="E41" s="1">
        <v>9</v>
      </c>
      <c r="F41" s="1">
        <v>7</v>
      </c>
      <c r="G41" s="1">
        <v>6</v>
      </c>
      <c r="H41" s="1">
        <v>6</v>
      </c>
      <c r="I41" s="1">
        <v>7</v>
      </c>
      <c r="J41" s="1">
        <v>6.5</v>
      </c>
      <c r="K41" s="1">
        <v>8.5</v>
      </c>
      <c r="L41" s="1">
        <v>9</v>
      </c>
      <c r="M41" s="1">
        <v>7.5</v>
      </c>
      <c r="N41" s="1">
        <v>74.5</v>
      </c>
      <c r="O41" s="5">
        <f>SUMPRODUCT(D41:M41,$D$2:$M$2)</f>
        <v>1125.5</v>
      </c>
    </row>
    <row r="42" spans="1:15">
      <c r="A42">
        <v>41</v>
      </c>
      <c r="B42" s="1" t="s">
        <v>52</v>
      </c>
      <c r="C42" s="11"/>
      <c r="D42" s="1">
        <v>7.5</v>
      </c>
      <c r="E42" s="1">
        <v>8</v>
      </c>
      <c r="F42" s="1">
        <v>6</v>
      </c>
      <c r="G42" s="1">
        <v>6</v>
      </c>
      <c r="H42" s="1">
        <v>8.5</v>
      </c>
      <c r="I42" s="1">
        <v>7</v>
      </c>
      <c r="J42" s="1">
        <v>6</v>
      </c>
      <c r="K42" s="1">
        <v>5.5</v>
      </c>
      <c r="L42" s="1">
        <v>7</v>
      </c>
      <c r="M42" s="1">
        <v>8</v>
      </c>
      <c r="N42" s="1">
        <v>69.5</v>
      </c>
      <c r="O42" s="5">
        <f>SUMPRODUCT(D42:M42,$D$2:$M$2)</f>
        <v>1097</v>
      </c>
    </row>
    <row r="43" spans="1:15">
      <c r="A43">
        <v>40</v>
      </c>
      <c r="B43" s="1" t="s">
        <v>51</v>
      </c>
      <c r="C43" s="11"/>
      <c r="D43" s="1">
        <v>8</v>
      </c>
      <c r="E43" s="1">
        <v>8</v>
      </c>
      <c r="F43" s="1">
        <v>6.5</v>
      </c>
      <c r="G43" s="1">
        <v>6</v>
      </c>
      <c r="H43" s="1">
        <v>5.5</v>
      </c>
      <c r="I43" s="1">
        <v>9</v>
      </c>
      <c r="J43" s="1">
        <v>5</v>
      </c>
      <c r="K43" s="1">
        <v>8</v>
      </c>
      <c r="L43" s="1">
        <v>9</v>
      </c>
      <c r="M43" s="1">
        <v>7.5</v>
      </c>
      <c r="N43" s="1">
        <v>73</v>
      </c>
      <c r="O43" s="5">
        <f>SUMPRODUCT(D43:M43,$D$2:$M$2)</f>
        <v>1095</v>
      </c>
    </row>
    <row r="44" spans="1:15">
      <c r="A44">
        <v>42</v>
      </c>
      <c r="B44" s="2" t="s">
        <v>53</v>
      </c>
      <c r="C44" s="11"/>
      <c r="D44" s="1">
        <v>6</v>
      </c>
      <c r="E44" s="1">
        <v>7</v>
      </c>
      <c r="F44" s="1">
        <v>5.5</v>
      </c>
      <c r="G44" s="1">
        <v>6</v>
      </c>
      <c r="H44" s="1">
        <v>7.5</v>
      </c>
      <c r="I44" s="1">
        <v>7</v>
      </c>
      <c r="J44" s="1">
        <v>5</v>
      </c>
      <c r="K44" s="1">
        <v>8</v>
      </c>
      <c r="L44" s="1">
        <v>7</v>
      </c>
      <c r="M44" s="1">
        <v>8.5</v>
      </c>
      <c r="N44" s="1">
        <v>67.5</v>
      </c>
      <c r="O44" s="5">
        <f>SUMPRODUCT(D44:M44,$D$2:$M$2)</f>
        <v>1085</v>
      </c>
    </row>
  </sheetData>
  <sortState ref="A3:O44">
    <sortCondition descending="1" ref="O3:O44"/>
  </sortState>
  <phoneticPr fontId="18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earbuds_scores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 LAU</dc:creator>
  <cp:lastModifiedBy>Frankie LAU</cp:lastModifiedBy>
  <dcterms:created xsi:type="dcterms:W3CDTF">2026-07-03T13:52:50Z</dcterms:created>
  <dcterms:modified xsi:type="dcterms:W3CDTF">2026-07-03T21:52:34Z</dcterms:modified>
</cp:coreProperties>
</file>